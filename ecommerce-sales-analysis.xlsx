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3979aaf37ed59dc/Documents/"/>
    </mc:Choice>
  </mc:AlternateContent>
  <xr:revisionPtr revIDLastSave="135" documentId="11_CF5B56A8CB87C918A161CF344225BDF8A1C9E11F" xr6:coauthVersionLast="47" xr6:coauthVersionMax="47" xr10:uidLastSave="{97F36F38-254B-4409-829C-E0BF0DD473F9}"/>
  <bookViews>
    <workbookView xWindow="-110" yWindow="-110" windowWidth="19420" windowHeight="11500" activeTab="1" xr2:uid="{00000000-000D-0000-FFFF-FFFF00000000}"/>
  </bookViews>
  <sheets>
    <sheet name="Dashboard" sheetId="3" r:id="rId1"/>
    <sheet name="RawData" sheetId="1" r:id="rId2"/>
    <sheet name="PivotTable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L3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</calcChain>
</file>

<file path=xl/sharedStrings.xml><?xml version="1.0" encoding="utf-8"?>
<sst xmlns="http://schemas.openxmlformats.org/spreadsheetml/2006/main" count="214" uniqueCount="107">
  <si>
    <t>Order_ID</t>
  </si>
  <si>
    <t>Order_Date</t>
  </si>
  <si>
    <t>Customer_ID</t>
  </si>
  <si>
    <t>Product_Category</t>
  </si>
  <si>
    <t>Product_Name</t>
  </si>
  <si>
    <t>Region</t>
  </si>
  <si>
    <t>Quantity</t>
  </si>
  <si>
    <t>Unit_Price</t>
  </si>
  <si>
    <t>Discount</t>
  </si>
  <si>
    <t>Total_Sales</t>
  </si>
  <si>
    <t>Customer_Name</t>
  </si>
  <si>
    <t>Customer_Segment</t>
  </si>
  <si>
    <t>ORD-5001</t>
  </si>
  <si>
    <t>C-1001</t>
  </si>
  <si>
    <t>Electronics</t>
  </si>
  <si>
    <t>Laptop Pro</t>
  </si>
  <si>
    <t>North</t>
  </si>
  <si>
    <t>John Doe</t>
  </si>
  <si>
    <t>Consumer</t>
  </si>
  <si>
    <t>ORD-5002</t>
  </si>
  <si>
    <t>C-1003</t>
  </si>
  <si>
    <t>Office Supplies</t>
  </si>
  <si>
    <t>Printer Paper</t>
  </si>
  <si>
    <t>East</t>
  </si>
  <si>
    <t>C-1002</t>
  </si>
  <si>
    <t>Jane Smith</t>
  </si>
  <si>
    <t>Corporate</t>
  </si>
  <si>
    <t>ORD-5003</t>
  </si>
  <si>
    <t>Furniture</t>
  </si>
  <si>
    <t>Office Chair</t>
  </si>
  <si>
    <t>South</t>
  </si>
  <si>
    <t>Acme Corp</t>
  </si>
  <si>
    <t>ORD-5004</t>
  </si>
  <si>
    <t>C-1004</t>
  </si>
  <si>
    <t>Wireless Mouse</t>
  </si>
  <si>
    <t>West</t>
  </si>
  <si>
    <t>Alice Johnson</t>
  </si>
  <si>
    <t>Home Office</t>
  </si>
  <si>
    <t>ORD-5005</t>
  </si>
  <si>
    <t>C-1007</t>
  </si>
  <si>
    <t>Desk Lamp</t>
  </si>
  <si>
    <t>C-1005</t>
  </si>
  <si>
    <t>Bob Brown</t>
  </si>
  <si>
    <t>ORD-5006</t>
  </si>
  <si>
    <t>Standing Desk</t>
  </si>
  <si>
    <t>C-1006</t>
  </si>
  <si>
    <t>Charlie Davis</t>
  </si>
  <si>
    <t>ORD-5007</t>
  </si>
  <si>
    <t>C-1010</t>
  </si>
  <si>
    <t>Monitor 27"</t>
  </si>
  <si>
    <t>Delta Inc</t>
  </si>
  <si>
    <t>ORD-5008</t>
  </si>
  <si>
    <t>Pens Box</t>
  </si>
  <si>
    <t>C-1008</t>
  </si>
  <si>
    <t>Eve White</t>
  </si>
  <si>
    <t>ORD-5009</t>
  </si>
  <si>
    <t>Bookshelf</t>
  </si>
  <si>
    <t>C-1009</t>
  </si>
  <si>
    <t>Frank Green</t>
  </si>
  <si>
    <t>ORD-5010</t>
  </si>
  <si>
    <t>Keyboard</t>
  </si>
  <si>
    <t>Global LLC</t>
  </si>
  <si>
    <t>ORD-5011</t>
  </si>
  <si>
    <t>Notebooks</t>
  </si>
  <si>
    <t>ORD-5012</t>
  </si>
  <si>
    <t>Filing Cabinet</t>
  </si>
  <si>
    <t>ORD-5013</t>
  </si>
  <si>
    <t>Tablet</t>
  </si>
  <si>
    <t>ORD-5014</t>
  </si>
  <si>
    <t>Stapler</t>
  </si>
  <si>
    <t>ORD-5015</t>
  </si>
  <si>
    <t>Conference Table</t>
  </si>
  <si>
    <t>ORD-5016</t>
  </si>
  <si>
    <t>Webcam</t>
  </si>
  <si>
    <t>ORD-5017</t>
  </si>
  <si>
    <t>Whiteboard</t>
  </si>
  <si>
    <t>ORD-5018</t>
  </si>
  <si>
    <t>Ergonomic Chair</t>
  </si>
  <si>
    <t>ORD-5019</t>
  </si>
  <si>
    <t>Headphones</t>
  </si>
  <si>
    <t>ORD-5020</t>
  </si>
  <si>
    <t>Markers</t>
  </si>
  <si>
    <t>ORD-5021</t>
  </si>
  <si>
    <t>Sofa</t>
  </si>
  <si>
    <t>ORD-5022</t>
  </si>
  <si>
    <t>Smartphone</t>
  </si>
  <si>
    <t>ORD-5023</t>
  </si>
  <si>
    <t>Envelopes</t>
  </si>
  <si>
    <t>ORD-5024</t>
  </si>
  <si>
    <t>Side Table</t>
  </si>
  <si>
    <t>ORD-5025</t>
  </si>
  <si>
    <t>USB Drive</t>
  </si>
  <si>
    <t>ORD-5026</t>
  </si>
  <si>
    <t>Binder</t>
  </si>
  <si>
    <t>ORD-5027</t>
  </si>
  <si>
    <t>Desk Organizer</t>
  </si>
  <si>
    <t>ORD-5028</t>
  </si>
  <si>
    <t>Power Bank</t>
  </si>
  <si>
    <t>ORD-5029</t>
  </si>
  <si>
    <t>Scissors</t>
  </si>
  <si>
    <t>ORD-5030</t>
  </si>
  <si>
    <t>Floor Lamp</t>
  </si>
  <si>
    <t>Row Labels</t>
  </si>
  <si>
    <t>Grand Total</t>
  </si>
  <si>
    <t>Sum of Total_Sales</t>
  </si>
  <si>
    <t>Products</t>
  </si>
  <si>
    <t>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</si>
</sst>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yyyy\-mm\-dd"/>
    <numFmt numFmtId="165" formatCode="\$#,##0.00"/>
    <numFmt numFmtId="166" formatCode="0.0%"/>
  </numFmts>
  <fonts count="5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color rgb="FF1A1B20"/>
      <name val="Roboto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25D90"/>
        <bgColor rgb="FF425D90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0" fillId="0" borderId="2" xfId="0" pivotButton="1" applyBorder="1"/>
    <xf numFmtId="0" fontId="0" fillId="0" borderId="4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/>
    <xf numFmtId="0" fontId="0" fillId="0" borderId="7" xfId="0" applyBorder="1" applyAlignment="1">
      <alignment horizontal="left"/>
    </xf>
    <xf numFmtId="0" fontId="0" fillId="0" borderId="6" xfId="0" applyBorder="1"/>
    <xf numFmtId="43" fontId="0" fillId="0" borderId="0" xfId="1" applyFont="1"/>
    <xf numFmtId="0" fontId="3" fillId="3" borderId="0" xfId="0" applyFont="1" applyFill="1" applyAlignment="1">
      <alignment horizontal="center"/>
    </xf>
    <xf numFmtId="0" fontId="4" fillId="0" borderId="0" xfId="0" applyFont="1"/>
    <xf numFmtId="0" fontId="3" fillId="3" borderId="0" xfId="0" pivotButton="1" applyFont="1" applyFill="1"/>
  </cellXfs>
  <cellStyles count="2">
    <cellStyle name="Comma" xfId="1" builtinId="3"/>
    <cellStyle name="Normal" xfId="0" builtinId="0"/>
  </cellStyles>
  <dxfs count="7">
    <dxf>
      <numFmt numFmtId="0" formatCode="General"/>
    </dxf>
    <dxf>
      <font>
        <color rgb="FF1A1B20"/>
        <name val="Roboto"/>
        <scheme val="none"/>
      </font>
      <numFmt numFmtId="0" formatCode="General"/>
      <border diagonalUp="0" diagonalDown="0">
        <left style="thin">
          <color rgb="FF73777E"/>
        </left>
        <right style="thin">
          <color rgb="FF73777E"/>
        </right>
        <top style="thin">
          <color rgb="FF73777E"/>
        </top>
        <bottom style="thin">
          <color rgb="FF73777E"/>
        </bottom>
        <vertical/>
        <horizontal/>
      </border>
    </dxf>
    <dxf>
      <numFmt numFmtId="0" formatCode="General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</dxfs>
  <tableStyles count="2">
    <tableStyle name="Sheet1-style" pivot="0" count="2" xr9:uid="{00000000-0011-0000-FFFF-FFFF00000000}">
      <tableStyleElement type="firstRowStripe" dxfId="6"/>
      <tableStyleElement type="secondRowStripe" dxfId="5"/>
    </tableStyle>
    <tableStyle name="Sheet1-style 2" pivot="0" count="2" xr9:uid="{00000000-0011-0000-FFFF-FFFF01000000}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Best</a:t>
            </a:r>
            <a:r>
              <a:rPr lang="en-US" b="1" baseline="0">
                <a:solidFill>
                  <a:sysClr val="windowText" lastClr="000000"/>
                </a:solidFill>
              </a:rPr>
              <a:t> Product </a:t>
            </a:r>
            <a:r>
              <a:rPr lang="en-US" b="1">
                <a:solidFill>
                  <a:sysClr val="windowText" lastClr="000000"/>
                </a:solidFill>
              </a:rPr>
              <a:t>Sales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PivotTable!$B$11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8B-4AE4-8B00-8B012FAF787B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B8B-4AE4-8B00-8B012FAF787B}"/>
              </c:ext>
            </c:extLst>
          </c:dPt>
          <c:cat>
            <c:strRef>
              <c:f>PivotTable!$A$12:$A$14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PivotTable!$B$12:$B$14</c:f>
              <c:numCache>
                <c:formatCode>_(* #,##0.00_);_(* \(#,##0.00\);_(* "-"??_);_(@_)</c:formatCode>
                <c:ptCount val="3"/>
                <c:pt idx="0">
                  <c:v>5707</c:v>
                </c:pt>
                <c:pt idx="1">
                  <c:v>3223.25</c:v>
                </c:pt>
                <c:pt idx="2">
                  <c:v>1156.25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B-4AE4-8B00-8B012FAF7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684511"/>
        <c:axId val="1939531855"/>
      </c:barChart>
      <c:catAx>
        <c:axId val="33468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531855"/>
        <c:crosses val="autoZero"/>
        <c:auto val="1"/>
        <c:lblAlgn val="ctr"/>
        <c:lblOffset val="100"/>
        <c:noMultiLvlLbl val="0"/>
      </c:catAx>
      <c:valAx>
        <c:axId val="193953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68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[ecommerce-sales-analysis.xlsx]PivotTable!PivotTable12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Total Sales in 2023 by Region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3347495785900655"/>
          <c:y val="7.840900728530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0D-40EE-9EEB-EC9E2E8885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0D-40EE-9EEB-EC9E2E8885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0D-40EE-9EEB-EC9E2E8885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0D-40EE-9EEB-EC9E2E88858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PivotTable!$A$19:$A$23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PivotTable!$B$19:$B$23</c:f>
              <c:numCache>
                <c:formatCode>_(* #,##0.00_);_(* \(#,##0.00\);_(* "-"??_);_(@_)</c:formatCode>
                <c:ptCount val="4"/>
                <c:pt idx="0">
                  <c:v>3056.5</c:v>
                </c:pt>
                <c:pt idx="1">
                  <c:v>3264.25</c:v>
                </c:pt>
                <c:pt idx="2">
                  <c:v>2670.75</c:v>
                </c:pt>
                <c:pt idx="3">
                  <c:v>1095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0D-40EE-9EEB-EC9E2E888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[ecommerce-sales-analysis.xlsx]PivotTable!PivotTable12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58-4067-8652-57010E6CA1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58-4067-8652-57010E6CA1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58-4067-8652-57010E6CA1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58-4067-8652-57010E6CA1DB}"/>
              </c:ext>
            </c:extLst>
          </c:dPt>
          <c:cat>
            <c:strRef>
              <c:f>PivotTable!$A$19:$A$23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PivotTable!$B$19:$B$23</c:f>
              <c:numCache>
                <c:formatCode>_(* #,##0.00_);_(* \(#,##0.00\);_(* "-"??_);_(@_)</c:formatCode>
                <c:ptCount val="4"/>
                <c:pt idx="0">
                  <c:v>3056.5</c:v>
                </c:pt>
                <c:pt idx="1">
                  <c:v>3264.25</c:v>
                </c:pt>
                <c:pt idx="2">
                  <c:v>2670.75</c:v>
                </c:pt>
                <c:pt idx="3">
                  <c:v>1095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E-4783-B5CE-BC7870942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6350</xdr:rowOff>
    </xdr:from>
    <xdr:to>
      <xdr:col>8</xdr:col>
      <xdr:colOff>304800</xdr:colOff>
      <xdr:row>33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012500-5114-4EB7-991E-F022038BE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184150</xdr:colOff>
      <xdr:row>16</xdr:row>
      <xdr:rowOff>6350</xdr:rowOff>
    </xdr:from>
    <xdr:to>
      <xdr:col>16</xdr:col>
      <xdr:colOff>247650</xdr:colOff>
      <xdr:row>33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A9D8A7-7DBB-4A93-936F-B34843D7E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12700</xdr:colOff>
      <xdr:row>8</xdr:row>
      <xdr:rowOff>19050</xdr:rowOff>
    </xdr:from>
    <xdr:ext cx="4057650" cy="74122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1C8C67B-05AD-2942-21B2-8E70FB10526A}"/>
            </a:ext>
          </a:extLst>
        </xdr:cNvPr>
        <xdr:cNvSpPr txBox="1"/>
      </xdr:nvSpPr>
      <xdr:spPr>
        <a:xfrm>
          <a:off x="622300" y="1289050"/>
          <a:ext cx="4057650" cy="741229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/>
            <a:t>In</a:t>
          </a:r>
          <a:r>
            <a:rPr lang="en-US" baseline="0"/>
            <a:t> 2023</a:t>
          </a:r>
          <a:endParaRPr lang="en-US"/>
        </a:p>
        <a:p>
          <a:endParaRPr lang="en-US"/>
        </a:p>
        <a:p>
          <a:r>
            <a:rPr lang="en-US"/>
            <a:t>Best-selling product </a:t>
          </a:r>
          <a:r>
            <a:rPr lang="en-US" baseline="0"/>
            <a:t>= Electronics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(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$ 5,707.00)                </a:t>
          </a:r>
          <a:r>
            <a:rPr lang="en-US"/>
            <a:t>Region with the Highest Sales</a:t>
          </a:r>
          <a:r>
            <a:rPr lang="th-TH"/>
            <a:t> </a:t>
          </a:r>
          <a:r>
            <a:rPr lang="en-US"/>
            <a:t>=</a:t>
          </a:r>
          <a:r>
            <a:rPr lang="en-US" baseline="0"/>
            <a:t> North (32%,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$ 3,264.25)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520700</xdr:colOff>
      <xdr:row>6</xdr:row>
      <xdr:rowOff>57150</xdr:rowOff>
    </xdr:from>
    <xdr:to>
      <xdr:col>10</xdr:col>
      <xdr:colOff>215900</xdr:colOff>
      <xdr:row>23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EE236C-4982-7CBB-B06F-9955AF602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97.004362962965" createdVersion="8" refreshedVersion="8" minRefreshableVersion="3" recordCount="30" xr:uid="{9338CB23-60E8-4A91-ADCE-C70FA19C8FA0}">
  <cacheSource type="worksheet">
    <worksheetSource ref="A1:L31" sheet="RawData"/>
  </cacheSource>
  <cacheFields count="12">
    <cacheField name="Order_ID" numFmtId="0">
      <sharedItems/>
    </cacheField>
    <cacheField name="Order_Date" numFmtId="164">
      <sharedItems containsSemiMixedTypes="0" containsNonDate="0" containsDate="1" containsString="0" minDate="2023-01-15T00:00:00" maxDate="2023-10-26T00:00:00"/>
    </cacheField>
    <cacheField name="Customer_ID" numFmtId="0">
      <sharedItems/>
    </cacheField>
    <cacheField name="Product_Category" numFmtId="0">
      <sharedItems count="3">
        <s v="Electronics"/>
        <s v="Office Supplies"/>
        <s v="Furniture"/>
      </sharedItems>
    </cacheField>
    <cacheField name="Product_Name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Quantity" numFmtId="0">
      <sharedItems containsSemiMixedTypes="0" containsString="0" containsNumber="1" containsInteger="1" minValue="1" maxValue="50"/>
    </cacheField>
    <cacheField name="Unit_Price" numFmtId="165">
      <sharedItems containsSemiMixedTypes="0" containsString="0" containsNumber="1" containsInteger="1" minValue="2" maxValue="1200"/>
    </cacheField>
    <cacheField name="Discount" numFmtId="166">
      <sharedItems containsSemiMixedTypes="0" containsString="0" containsNumber="1" minValue="0" maxValue="0.2"/>
    </cacheField>
    <cacheField name="Total_Sales" numFmtId="0">
      <sharedItems containsSemiMixedTypes="0" containsString="0" containsNumber="1" minValue="48" maxValue="1520"/>
    </cacheField>
    <cacheField name="Customer_Name" numFmtId="0">
      <sharedItems/>
    </cacheField>
    <cacheField name="Customer_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ORD-5001"/>
    <d v="2023-01-15T00:00:00"/>
    <s v="C-1001"/>
    <x v="0"/>
    <s v="Laptop Pro"/>
    <x v="0"/>
    <n v="1"/>
    <n v="1200"/>
    <n v="0.05"/>
    <n v="1140"/>
    <s v="John Doe"/>
    <s v="Consumer"/>
  </r>
  <r>
    <s v="ORD-5002"/>
    <d v="2023-01-18T00:00:00"/>
    <s v="C-1003"/>
    <x v="1"/>
    <s v="Printer Paper"/>
    <x v="1"/>
    <n v="10"/>
    <n v="15"/>
    <n v="0"/>
    <n v="150"/>
    <s v="Acme Corp"/>
    <s v="Corporate"/>
  </r>
  <r>
    <s v="ORD-5003"/>
    <d v="2023-01-22T00:00:00"/>
    <s v="C-1002"/>
    <x v="2"/>
    <s v="Office Chair"/>
    <x v="2"/>
    <n v="2"/>
    <n v="150"/>
    <n v="0.1"/>
    <n v="270"/>
    <s v="Jane Smith"/>
    <s v="Corporate"/>
  </r>
  <r>
    <s v="ORD-5004"/>
    <d v="2023-02-05T00:00:00"/>
    <s v="C-1004"/>
    <x v="0"/>
    <s v="Wireless Mouse"/>
    <x v="3"/>
    <n v="5"/>
    <n v="25"/>
    <n v="0"/>
    <n v="125"/>
    <s v="Alice Johnson"/>
    <s v="Home Office"/>
  </r>
  <r>
    <s v="ORD-5005"/>
    <d v="2023-02-12T00:00:00"/>
    <s v="C-1007"/>
    <x v="1"/>
    <s v="Desk Lamp"/>
    <x v="0"/>
    <n v="3"/>
    <n v="45"/>
    <n v="0.05"/>
    <n v="128.25"/>
    <s v="Delta Inc"/>
    <s v="Corporate"/>
  </r>
  <r>
    <s v="ORD-5006"/>
    <d v="2023-02-28T00:00:00"/>
    <s v="C-1005"/>
    <x v="2"/>
    <s v="Standing Desk"/>
    <x v="1"/>
    <n v="1"/>
    <n v="450"/>
    <n v="0.15"/>
    <n v="382.5"/>
    <s v="Bob Brown"/>
    <s v="Consumer"/>
  </r>
  <r>
    <s v="ORD-5007"/>
    <d v="2023-03-10T00:00:00"/>
    <s v="C-1010"/>
    <x v="0"/>
    <s v="Monitor 27&quot;"/>
    <x v="2"/>
    <n v="4"/>
    <n v="300"/>
    <n v="0.1"/>
    <n v="1080"/>
    <s v="Global LLC"/>
    <s v="Corporate"/>
  </r>
  <r>
    <s v="ORD-5008"/>
    <d v="2023-03-15T00:00:00"/>
    <s v="C-1006"/>
    <x v="1"/>
    <s v="Pens Box"/>
    <x v="3"/>
    <n v="20"/>
    <n v="5"/>
    <n v="0"/>
    <n v="100"/>
    <s v="Charlie Davis"/>
    <s v="Consumer"/>
  </r>
  <r>
    <s v="ORD-5009"/>
    <d v="2023-03-22T00:00:00"/>
    <s v="C-1008"/>
    <x v="2"/>
    <s v="Bookshelf"/>
    <x v="0"/>
    <n v="2"/>
    <n v="120"/>
    <n v="0.05"/>
    <n v="228"/>
    <s v="Eve White"/>
    <s v="Home Office"/>
  </r>
  <r>
    <s v="ORD-5010"/>
    <d v="2023-04-05T00:00:00"/>
    <s v="C-1009"/>
    <x v="0"/>
    <s v="Keyboard"/>
    <x v="1"/>
    <n v="3"/>
    <n v="50"/>
    <n v="0"/>
    <n v="150"/>
    <s v="Frank Green"/>
    <s v="Consumer"/>
  </r>
  <r>
    <s v="ORD-5011"/>
    <d v="2023-04-12T00:00:00"/>
    <s v="C-1001"/>
    <x v="1"/>
    <s v="Notebooks"/>
    <x v="2"/>
    <n v="15"/>
    <n v="8"/>
    <n v="0"/>
    <n v="120"/>
    <s v="John Doe"/>
    <s v="Consumer"/>
  </r>
  <r>
    <s v="ORD-5012"/>
    <d v="2023-04-20T00:00:00"/>
    <s v="C-1003"/>
    <x v="2"/>
    <s v="Filing Cabinet"/>
    <x v="3"/>
    <n v="1"/>
    <n v="200"/>
    <n v="0.1"/>
    <n v="180"/>
    <s v="Acme Corp"/>
    <s v="Corporate"/>
  </r>
  <r>
    <s v="ORD-5013"/>
    <d v="2023-05-02T00:00:00"/>
    <s v="C-1002"/>
    <x v="0"/>
    <s v="Tablet"/>
    <x v="0"/>
    <n v="2"/>
    <n v="400"/>
    <n v="0.05"/>
    <n v="760"/>
    <s v="Jane Smith"/>
    <s v="Corporate"/>
  </r>
  <r>
    <s v="ORD-5014"/>
    <d v="2023-05-18T00:00:00"/>
    <s v="C-1004"/>
    <x v="1"/>
    <s v="Stapler"/>
    <x v="1"/>
    <n v="5"/>
    <n v="12"/>
    <n v="0"/>
    <n v="60"/>
    <s v="Alice Johnson"/>
    <s v="Home Office"/>
  </r>
  <r>
    <s v="ORD-5015"/>
    <d v="2023-05-25T00:00:00"/>
    <s v="C-1007"/>
    <x v="2"/>
    <s v="Conference Table"/>
    <x v="2"/>
    <n v="1"/>
    <n v="800"/>
    <n v="0.2"/>
    <n v="640"/>
    <s v="Delta Inc"/>
    <s v="Corporate"/>
  </r>
  <r>
    <s v="ORD-5016"/>
    <d v="2023-06-10T00:00:00"/>
    <s v="C-1005"/>
    <x v="0"/>
    <s v="Webcam"/>
    <x v="3"/>
    <n v="4"/>
    <n v="80"/>
    <n v="0"/>
    <n v="320"/>
    <s v="Bob Brown"/>
    <s v="Consumer"/>
  </r>
  <r>
    <s v="ORD-5017"/>
    <d v="2023-06-15T00:00:00"/>
    <s v="C-1010"/>
    <x v="1"/>
    <s v="Whiteboard"/>
    <x v="0"/>
    <n v="2"/>
    <n v="150"/>
    <n v="0.1"/>
    <n v="270"/>
    <s v="Global LLC"/>
    <s v="Corporate"/>
  </r>
  <r>
    <s v="ORD-5018"/>
    <d v="2023-06-22T00:00:00"/>
    <s v="C-1006"/>
    <x v="2"/>
    <s v="Ergonomic Chair"/>
    <x v="1"/>
    <n v="3"/>
    <n v="250"/>
    <n v="0.15"/>
    <n v="637.5"/>
    <s v="Charlie Davis"/>
    <s v="Consumer"/>
  </r>
  <r>
    <s v="ORD-5019"/>
    <d v="2023-07-05T00:00:00"/>
    <s v="C-1008"/>
    <x v="0"/>
    <s v="Headphones"/>
    <x v="2"/>
    <n v="6"/>
    <n v="60"/>
    <n v="0.05"/>
    <n v="342"/>
    <s v="Eve White"/>
    <s v="Home Office"/>
  </r>
  <r>
    <s v="ORD-5020"/>
    <d v="2023-07-12T00:00:00"/>
    <s v="C-1009"/>
    <x v="1"/>
    <s v="Markers"/>
    <x v="3"/>
    <n v="10"/>
    <n v="10"/>
    <n v="0"/>
    <n v="100"/>
    <s v="Frank Green"/>
    <s v="Consumer"/>
  </r>
  <r>
    <s v="ORD-5021"/>
    <d v="2023-07-28T00:00:00"/>
    <s v="C-1001"/>
    <x v="2"/>
    <s v="Sofa"/>
    <x v="0"/>
    <n v="1"/>
    <n v="600"/>
    <n v="0.1"/>
    <n v="540"/>
    <s v="John Doe"/>
    <s v="Consumer"/>
  </r>
  <r>
    <s v="ORD-5022"/>
    <d v="2023-08-10T00:00:00"/>
    <s v="C-1003"/>
    <x v="0"/>
    <s v="Smartphone"/>
    <x v="1"/>
    <n v="2"/>
    <n v="800"/>
    <n v="0.05"/>
    <n v="1520"/>
    <s v="Acme Corp"/>
    <s v="Corporate"/>
  </r>
  <r>
    <s v="ORD-5023"/>
    <d v="2023-08-15T00:00:00"/>
    <s v="C-1002"/>
    <x v="1"/>
    <s v="Envelopes"/>
    <x v="2"/>
    <n v="50"/>
    <n v="2"/>
    <n v="0"/>
    <n v="100"/>
    <s v="Jane Smith"/>
    <s v="Corporate"/>
  </r>
  <r>
    <s v="ORD-5024"/>
    <d v="2023-08-22T00:00:00"/>
    <s v="C-1004"/>
    <x v="2"/>
    <s v="Side Table"/>
    <x v="3"/>
    <n v="2"/>
    <n v="75"/>
    <n v="0"/>
    <n v="150"/>
    <s v="Alice Johnson"/>
    <s v="Home Office"/>
  </r>
  <r>
    <s v="ORD-5025"/>
    <d v="2023-09-05T00:00:00"/>
    <s v="C-1007"/>
    <x v="0"/>
    <s v="USB Drive"/>
    <x v="0"/>
    <n v="10"/>
    <n v="15"/>
    <n v="0"/>
    <n v="150"/>
    <s v="Delta Inc"/>
    <s v="Corporate"/>
  </r>
  <r>
    <s v="ORD-5026"/>
    <d v="2023-09-12T00:00:00"/>
    <s v="C-1005"/>
    <x v="1"/>
    <s v="Binder"/>
    <x v="1"/>
    <n v="20"/>
    <n v="4"/>
    <n v="0"/>
    <n v="80"/>
    <s v="Bob Brown"/>
    <s v="Consumer"/>
  </r>
  <r>
    <s v="ORD-5027"/>
    <d v="2023-09-20T00:00:00"/>
    <s v="C-1010"/>
    <x v="2"/>
    <s v="Desk Organizer"/>
    <x v="2"/>
    <n v="5"/>
    <n v="25"/>
    <n v="0.05"/>
    <n v="118.75"/>
    <s v="Global LLC"/>
    <s v="Corporate"/>
  </r>
  <r>
    <s v="ORD-5028"/>
    <d v="2023-10-02T00:00:00"/>
    <s v="C-1006"/>
    <x v="0"/>
    <s v="Power Bank"/>
    <x v="3"/>
    <n v="3"/>
    <n v="40"/>
    <n v="0"/>
    <n v="120"/>
    <s v="Charlie Davis"/>
    <s v="Consumer"/>
  </r>
  <r>
    <s v="ORD-5029"/>
    <d v="2023-10-15T00:00:00"/>
    <s v="C-1008"/>
    <x v="1"/>
    <s v="Scissors"/>
    <x v="0"/>
    <n v="8"/>
    <n v="6"/>
    <n v="0"/>
    <n v="48"/>
    <s v="Eve White"/>
    <s v="Home Office"/>
  </r>
  <r>
    <s v="ORD-5030"/>
    <d v="2023-10-25T00:00:00"/>
    <s v="C-1009"/>
    <x v="2"/>
    <s v="Floor Lamp"/>
    <x v="1"/>
    <n v="1"/>
    <n v="85"/>
    <n v="0.1"/>
    <n v="76.5"/>
    <s v="Frank Green"/>
    <s v="Consum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5E005-2C77-4FFF-A680-2A25F2322A02}" name="PivotTable1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Products">
  <location ref="A11:B15" firstHeaderRow="1" firstDataRow="1" firstDataCol="1"/>
  <pivotFields count="12">
    <pivotField showAll="0"/>
    <pivotField numFmtId="164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numFmtId="165" showAll="0"/>
    <pivotField numFmtId="166"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9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30350-F6E3-48D2-B385-8A43ACCEC44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Regions">
  <location ref="A18:B23" firstHeaderRow="1" firstDataRow="1" firstDataCol="1"/>
  <pivotFields count="12">
    <pivotField showAll="0"/>
    <pivotField numFmtId="164"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numFmtId="165" showAll="0"/>
    <pivotField numFmtId="166" showAll="0"/>
    <pivotField dataField="1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9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A0339-4520-4B01-8958-A7B25B1E578A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B7" firstHeaderRow="1" firstDataRow="1" firstDataCol="1"/>
  <pivotFields count="12">
    <pivotField showAll="0"/>
    <pivotField numFmtId="164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numFmtId="165" showAll="0"/>
    <pivotField numFmtId="166"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9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L31" headerRowCount="0">
  <tableColumns count="1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 dataDxfId="2">
      <calculatedColumnFormula>(G2*H2)*(1-I2)</calculatedColumnFormula>
    </tableColumn>
    <tableColumn id="11" xr3:uid="{00000000-0010-0000-0000-00000B000000}" name="Column11" dataDxfId="1">
      <calculatedColumnFormula>_xlfn.XLOOKUP(C2,$N$2:$N$11,$O$2:$O$11)</calculatedColumnFormula>
    </tableColumn>
    <tableColumn id="12" xr3:uid="{00000000-0010-0000-0000-00000C000000}" name="Column12" dataDxfId="0">
      <calculatedColumnFormula>_xlfn.XLOOKUP(C2,$N$2:$N$11,$P$2:$P$11)</calculatedColumnFormula>
    </tableColumn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N2:P11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285F4"/>
    </a:accent1>
    <a:accent2>
      <a:srgbClr val="EA4335"/>
    </a:accent2>
    <a:accent3>
      <a:srgbClr val="FBBC04"/>
    </a:accent3>
    <a:accent4>
      <a:srgbClr val="34A853"/>
    </a:accent4>
    <a:accent5>
      <a:srgbClr val="FF6D01"/>
    </a:accent5>
    <a:accent6>
      <a:srgbClr val="46BDC6"/>
    </a:accent6>
    <a:hlink>
      <a:srgbClr val="1155CC"/>
    </a:hlink>
    <a:folHlink>
      <a:srgbClr val="1155CC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E599-FDAB-49B8-BF4A-DC08AFF31345}">
  <dimension ref="A1"/>
  <sheetViews>
    <sheetView topLeftCell="A15" workbookViewId="0">
      <selection activeCell="J39" sqref="J39"/>
    </sheetView>
  </sheetViews>
  <sheetFormatPr defaultRowHeight="12.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1"/>
  <sheetViews>
    <sheetView tabSelected="1" workbookViewId="0">
      <selection activeCell="K4" sqref="K4"/>
    </sheetView>
  </sheetViews>
  <sheetFormatPr defaultColWidth="12.6328125" defaultRowHeight="15.75" customHeight="1" x14ac:dyDescent="0.25"/>
  <cols>
    <col min="1" max="1" width="8.26953125" customWidth="1"/>
    <col min="2" max="2" width="14.1796875" customWidth="1"/>
    <col min="3" max="3" width="11.26953125" customWidth="1"/>
    <col min="4" max="4" width="15.36328125" customWidth="1"/>
    <col min="5" max="5" width="13.453125" customWidth="1"/>
    <col min="6" max="6" width="6.453125" customWidth="1"/>
    <col min="7" max="7" width="7.7265625" customWidth="1"/>
    <col min="8" max="8" width="9.08984375" customWidth="1"/>
    <col min="9" max="9" width="8" customWidth="1"/>
    <col min="10" max="10" width="10.08984375" customWidth="1"/>
    <col min="11" max="11" width="14.26953125" customWidth="1"/>
    <col min="12" max="12" width="16.7265625" customWidth="1"/>
    <col min="14" max="14" width="11.26953125" customWidth="1"/>
    <col min="15" max="15" width="14.26953125" customWidth="1"/>
    <col min="16" max="16" width="16.7265625" customWidth="1"/>
  </cols>
  <sheetData>
    <row r="1" spans="1:16" ht="15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2</v>
      </c>
      <c r="O1" s="1" t="s">
        <v>10</v>
      </c>
      <c r="P1" s="1" t="s">
        <v>11</v>
      </c>
    </row>
    <row r="2" spans="1:16" ht="13" x14ac:dyDescent="0.3">
      <c r="A2" s="2" t="s">
        <v>12</v>
      </c>
      <c r="B2" s="3">
        <v>44941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1</v>
      </c>
      <c r="H2" s="4">
        <v>1200</v>
      </c>
      <c r="I2" s="5">
        <v>0.05</v>
      </c>
      <c r="J2" s="2">
        <f t="shared" ref="J2:J31" si="0">(G2*H2)*(1-I2)</f>
        <v>1140</v>
      </c>
      <c r="K2" s="2" t="str">
        <f>_xlfn.XLOOKUP(C2,$N$2:$N$11,$O$2:$O$11)</f>
        <v>John Doe</v>
      </c>
      <c r="L2" s="2" t="str">
        <f t="shared" ref="L2:L30" si="1">_xlfn.XLOOKUP(C2,$N$2:$N$11,$P$2:$P$11)</f>
        <v>Consumer</v>
      </c>
      <c r="N2" s="2" t="s">
        <v>13</v>
      </c>
      <c r="O2" s="2" t="s">
        <v>17</v>
      </c>
      <c r="P2" s="2" t="s">
        <v>18</v>
      </c>
    </row>
    <row r="3" spans="1:16" ht="13" x14ac:dyDescent="0.3">
      <c r="A3" s="2" t="s">
        <v>19</v>
      </c>
      <c r="B3" s="3">
        <v>44944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10</v>
      </c>
      <c r="H3" s="4">
        <v>15</v>
      </c>
      <c r="I3" s="5">
        <v>0</v>
      </c>
      <c r="J3" s="2">
        <f t="shared" si="0"/>
        <v>150</v>
      </c>
      <c r="K3" s="2" t="str">
        <f t="shared" ref="K3:K31" si="2">_xlfn.XLOOKUP(C3,$N$2:$N$11,$O$2:$O$11)</f>
        <v>Acme Corp</v>
      </c>
      <c r="L3" s="2" t="str">
        <f t="shared" si="1"/>
        <v>Corporate</v>
      </c>
      <c r="N3" s="2" t="s">
        <v>24</v>
      </c>
      <c r="O3" s="2" t="s">
        <v>25</v>
      </c>
      <c r="P3" s="2" t="s">
        <v>26</v>
      </c>
    </row>
    <row r="4" spans="1:16" ht="13" x14ac:dyDescent="0.3">
      <c r="A4" s="2" t="s">
        <v>27</v>
      </c>
      <c r="B4" s="3">
        <v>44948</v>
      </c>
      <c r="C4" s="2" t="s">
        <v>24</v>
      </c>
      <c r="D4" s="2" t="s">
        <v>28</v>
      </c>
      <c r="E4" s="2" t="s">
        <v>29</v>
      </c>
      <c r="F4" s="2" t="s">
        <v>30</v>
      </c>
      <c r="G4" s="2">
        <v>2</v>
      </c>
      <c r="H4" s="4">
        <v>150</v>
      </c>
      <c r="I4" s="5">
        <v>0.1</v>
      </c>
      <c r="J4" s="2">
        <f t="shared" si="0"/>
        <v>270</v>
      </c>
      <c r="K4" s="2" t="str">
        <f t="shared" si="2"/>
        <v>Jane Smith</v>
      </c>
      <c r="L4" s="2" t="str">
        <f t="shared" si="1"/>
        <v>Corporate</v>
      </c>
      <c r="N4" s="2" t="s">
        <v>20</v>
      </c>
      <c r="O4" s="2" t="s">
        <v>31</v>
      </c>
      <c r="P4" s="2" t="s">
        <v>26</v>
      </c>
    </row>
    <row r="5" spans="1:16" ht="13" x14ac:dyDescent="0.3">
      <c r="A5" s="2" t="s">
        <v>32</v>
      </c>
      <c r="B5" s="3">
        <v>44962</v>
      </c>
      <c r="C5" s="2" t="s">
        <v>33</v>
      </c>
      <c r="D5" s="2" t="s">
        <v>14</v>
      </c>
      <c r="E5" s="2" t="s">
        <v>34</v>
      </c>
      <c r="F5" s="2" t="s">
        <v>35</v>
      </c>
      <c r="G5" s="2">
        <v>5</v>
      </c>
      <c r="H5" s="4">
        <v>25</v>
      </c>
      <c r="I5" s="5">
        <v>0</v>
      </c>
      <c r="J5" s="2">
        <f t="shared" si="0"/>
        <v>125</v>
      </c>
      <c r="K5" s="2" t="str">
        <f t="shared" si="2"/>
        <v>Alice Johnson</v>
      </c>
      <c r="L5" s="2" t="str">
        <f t="shared" si="1"/>
        <v>Home Office</v>
      </c>
      <c r="N5" s="2" t="s">
        <v>33</v>
      </c>
      <c r="O5" s="2" t="s">
        <v>36</v>
      </c>
      <c r="P5" s="2" t="s">
        <v>37</v>
      </c>
    </row>
    <row r="6" spans="1:16" ht="13" x14ac:dyDescent="0.3">
      <c r="A6" s="2" t="s">
        <v>38</v>
      </c>
      <c r="B6" s="3">
        <v>44969</v>
      </c>
      <c r="C6" s="2" t="s">
        <v>39</v>
      </c>
      <c r="D6" s="2" t="s">
        <v>21</v>
      </c>
      <c r="E6" s="2" t="s">
        <v>40</v>
      </c>
      <c r="F6" s="2" t="s">
        <v>16</v>
      </c>
      <c r="G6" s="2">
        <v>3</v>
      </c>
      <c r="H6" s="4">
        <v>45</v>
      </c>
      <c r="I6" s="5">
        <v>0.05</v>
      </c>
      <c r="J6" s="2">
        <f t="shared" si="0"/>
        <v>128.25</v>
      </c>
      <c r="K6" s="2" t="str">
        <f t="shared" si="2"/>
        <v>Delta Inc</v>
      </c>
      <c r="L6" s="2" t="str">
        <f t="shared" si="1"/>
        <v>Corporate</v>
      </c>
      <c r="N6" s="2" t="s">
        <v>41</v>
      </c>
      <c r="O6" s="2" t="s">
        <v>42</v>
      </c>
      <c r="P6" s="2" t="s">
        <v>18</v>
      </c>
    </row>
    <row r="7" spans="1:16" ht="13" x14ac:dyDescent="0.3">
      <c r="A7" s="2" t="s">
        <v>43</v>
      </c>
      <c r="B7" s="3">
        <v>44985</v>
      </c>
      <c r="C7" s="2" t="s">
        <v>41</v>
      </c>
      <c r="D7" s="2" t="s">
        <v>28</v>
      </c>
      <c r="E7" s="2" t="s">
        <v>44</v>
      </c>
      <c r="F7" s="2" t="s">
        <v>23</v>
      </c>
      <c r="G7" s="2">
        <v>1</v>
      </c>
      <c r="H7" s="4">
        <v>450</v>
      </c>
      <c r="I7" s="5">
        <v>0.15</v>
      </c>
      <c r="J7" s="2">
        <f t="shared" si="0"/>
        <v>382.5</v>
      </c>
      <c r="K7" s="2" t="str">
        <f t="shared" si="2"/>
        <v>Bob Brown</v>
      </c>
      <c r="L7" s="2" t="str">
        <f t="shared" si="1"/>
        <v>Consumer</v>
      </c>
      <c r="N7" s="2" t="s">
        <v>45</v>
      </c>
      <c r="O7" s="2" t="s">
        <v>46</v>
      </c>
      <c r="P7" s="2" t="s">
        <v>18</v>
      </c>
    </row>
    <row r="8" spans="1:16" ht="13" x14ac:dyDescent="0.3">
      <c r="A8" s="2" t="s">
        <v>47</v>
      </c>
      <c r="B8" s="3">
        <v>44995</v>
      </c>
      <c r="C8" s="2" t="s">
        <v>48</v>
      </c>
      <c r="D8" s="2" t="s">
        <v>14</v>
      </c>
      <c r="E8" s="2" t="s">
        <v>49</v>
      </c>
      <c r="F8" s="2" t="s">
        <v>30</v>
      </c>
      <c r="G8" s="2">
        <v>4</v>
      </c>
      <c r="H8" s="4">
        <v>300</v>
      </c>
      <c r="I8" s="5">
        <v>0.1</v>
      </c>
      <c r="J8" s="2">
        <f t="shared" si="0"/>
        <v>1080</v>
      </c>
      <c r="K8" s="2" t="str">
        <f t="shared" si="2"/>
        <v>Global LLC</v>
      </c>
      <c r="L8" s="2" t="str">
        <f t="shared" si="1"/>
        <v>Corporate</v>
      </c>
      <c r="N8" s="2" t="s">
        <v>39</v>
      </c>
      <c r="O8" s="2" t="s">
        <v>50</v>
      </c>
      <c r="P8" s="2" t="s">
        <v>26</v>
      </c>
    </row>
    <row r="9" spans="1:16" ht="13" x14ac:dyDescent="0.3">
      <c r="A9" s="2" t="s">
        <v>51</v>
      </c>
      <c r="B9" s="3">
        <v>45000</v>
      </c>
      <c r="C9" s="2" t="s">
        <v>45</v>
      </c>
      <c r="D9" s="2" t="s">
        <v>21</v>
      </c>
      <c r="E9" s="2" t="s">
        <v>52</v>
      </c>
      <c r="F9" s="2" t="s">
        <v>35</v>
      </c>
      <c r="G9" s="2">
        <v>20</v>
      </c>
      <c r="H9" s="4">
        <v>5</v>
      </c>
      <c r="I9" s="5">
        <v>0</v>
      </c>
      <c r="J9" s="2">
        <f t="shared" si="0"/>
        <v>100</v>
      </c>
      <c r="K9" s="2" t="str">
        <f t="shared" si="2"/>
        <v>Charlie Davis</v>
      </c>
      <c r="L9" s="2" t="str">
        <f t="shared" si="1"/>
        <v>Consumer</v>
      </c>
      <c r="N9" s="2" t="s">
        <v>53</v>
      </c>
      <c r="O9" s="2" t="s">
        <v>54</v>
      </c>
      <c r="P9" s="2" t="s">
        <v>37</v>
      </c>
    </row>
    <row r="10" spans="1:16" ht="13" x14ac:dyDescent="0.3">
      <c r="A10" s="2" t="s">
        <v>55</v>
      </c>
      <c r="B10" s="3">
        <v>45007</v>
      </c>
      <c r="C10" s="2" t="s">
        <v>53</v>
      </c>
      <c r="D10" s="2" t="s">
        <v>28</v>
      </c>
      <c r="E10" s="2" t="s">
        <v>56</v>
      </c>
      <c r="F10" s="2" t="s">
        <v>16</v>
      </c>
      <c r="G10" s="2">
        <v>2</v>
      </c>
      <c r="H10" s="4">
        <v>120</v>
      </c>
      <c r="I10" s="5">
        <v>0.05</v>
      </c>
      <c r="J10" s="2">
        <f t="shared" si="0"/>
        <v>228</v>
      </c>
      <c r="K10" s="2" t="str">
        <f t="shared" si="2"/>
        <v>Eve White</v>
      </c>
      <c r="L10" s="2" t="str">
        <f t="shared" si="1"/>
        <v>Home Office</v>
      </c>
      <c r="N10" s="2" t="s">
        <v>57</v>
      </c>
      <c r="O10" s="2" t="s">
        <v>58</v>
      </c>
      <c r="P10" s="2" t="s">
        <v>18</v>
      </c>
    </row>
    <row r="11" spans="1:16" ht="13" x14ac:dyDescent="0.3">
      <c r="A11" s="2" t="s">
        <v>59</v>
      </c>
      <c r="B11" s="3">
        <v>45021</v>
      </c>
      <c r="C11" s="2" t="s">
        <v>57</v>
      </c>
      <c r="D11" s="2" t="s">
        <v>14</v>
      </c>
      <c r="E11" s="2" t="s">
        <v>60</v>
      </c>
      <c r="F11" s="2" t="s">
        <v>23</v>
      </c>
      <c r="G11" s="2">
        <v>3</v>
      </c>
      <c r="H11" s="4">
        <v>50</v>
      </c>
      <c r="I11" s="5">
        <v>0</v>
      </c>
      <c r="J11" s="2">
        <f t="shared" si="0"/>
        <v>150</v>
      </c>
      <c r="K11" s="2" t="str">
        <f t="shared" si="2"/>
        <v>Frank Green</v>
      </c>
      <c r="L11" s="2" t="str">
        <f t="shared" si="1"/>
        <v>Consumer</v>
      </c>
      <c r="N11" s="2" t="s">
        <v>48</v>
      </c>
      <c r="O11" s="2" t="s">
        <v>61</v>
      </c>
      <c r="P11" s="2" t="s">
        <v>26</v>
      </c>
    </row>
    <row r="12" spans="1:16" ht="13" x14ac:dyDescent="0.3">
      <c r="A12" s="2" t="s">
        <v>62</v>
      </c>
      <c r="B12" s="3">
        <v>45028</v>
      </c>
      <c r="C12" s="2" t="s">
        <v>13</v>
      </c>
      <c r="D12" s="2" t="s">
        <v>21</v>
      </c>
      <c r="E12" s="2" t="s">
        <v>63</v>
      </c>
      <c r="F12" s="2" t="s">
        <v>30</v>
      </c>
      <c r="G12" s="2">
        <v>15</v>
      </c>
      <c r="H12" s="4">
        <v>8</v>
      </c>
      <c r="I12" s="5">
        <v>0</v>
      </c>
      <c r="J12" s="2">
        <f t="shared" si="0"/>
        <v>120</v>
      </c>
      <c r="K12" s="2" t="str">
        <f t="shared" si="2"/>
        <v>John Doe</v>
      </c>
      <c r="L12" s="2" t="str">
        <f t="shared" si="1"/>
        <v>Consumer</v>
      </c>
    </row>
    <row r="13" spans="1:16" ht="13" x14ac:dyDescent="0.3">
      <c r="A13" s="2" t="s">
        <v>64</v>
      </c>
      <c r="B13" s="3">
        <v>45036</v>
      </c>
      <c r="C13" s="2" t="s">
        <v>20</v>
      </c>
      <c r="D13" s="2" t="s">
        <v>28</v>
      </c>
      <c r="E13" s="2" t="s">
        <v>65</v>
      </c>
      <c r="F13" s="2" t="s">
        <v>35</v>
      </c>
      <c r="G13" s="2">
        <v>1</v>
      </c>
      <c r="H13" s="4">
        <v>200</v>
      </c>
      <c r="I13" s="5">
        <v>0.1</v>
      </c>
      <c r="J13" s="2">
        <f t="shared" si="0"/>
        <v>180</v>
      </c>
      <c r="K13" s="2" t="str">
        <f t="shared" si="2"/>
        <v>Acme Corp</v>
      </c>
      <c r="L13" s="2" t="str">
        <f t="shared" si="1"/>
        <v>Corporate</v>
      </c>
    </row>
    <row r="14" spans="1:16" ht="13" x14ac:dyDescent="0.3">
      <c r="A14" s="2" t="s">
        <v>66</v>
      </c>
      <c r="B14" s="3">
        <v>45048</v>
      </c>
      <c r="C14" s="2" t="s">
        <v>24</v>
      </c>
      <c r="D14" s="2" t="s">
        <v>14</v>
      </c>
      <c r="E14" s="2" t="s">
        <v>67</v>
      </c>
      <c r="F14" s="2" t="s">
        <v>16</v>
      </c>
      <c r="G14" s="2">
        <v>2</v>
      </c>
      <c r="H14" s="4">
        <v>400</v>
      </c>
      <c r="I14" s="5">
        <v>0.05</v>
      </c>
      <c r="J14" s="2">
        <f t="shared" si="0"/>
        <v>760</v>
      </c>
      <c r="K14" s="2" t="str">
        <f t="shared" si="2"/>
        <v>Jane Smith</v>
      </c>
      <c r="L14" s="2" t="str">
        <f t="shared" si="1"/>
        <v>Corporate</v>
      </c>
    </row>
    <row r="15" spans="1:16" ht="13" x14ac:dyDescent="0.3">
      <c r="A15" s="2" t="s">
        <v>68</v>
      </c>
      <c r="B15" s="3">
        <v>45064</v>
      </c>
      <c r="C15" s="2" t="s">
        <v>33</v>
      </c>
      <c r="D15" s="2" t="s">
        <v>21</v>
      </c>
      <c r="E15" s="2" t="s">
        <v>69</v>
      </c>
      <c r="F15" s="2" t="s">
        <v>23</v>
      </c>
      <c r="G15" s="2">
        <v>5</v>
      </c>
      <c r="H15" s="4">
        <v>12</v>
      </c>
      <c r="I15" s="5">
        <v>0</v>
      </c>
      <c r="J15" s="2">
        <f t="shared" si="0"/>
        <v>60</v>
      </c>
      <c r="K15" s="2" t="str">
        <f t="shared" si="2"/>
        <v>Alice Johnson</v>
      </c>
      <c r="L15" s="2" t="str">
        <f t="shared" si="1"/>
        <v>Home Office</v>
      </c>
    </row>
    <row r="16" spans="1:16" ht="13" x14ac:dyDescent="0.3">
      <c r="A16" s="2" t="s">
        <v>70</v>
      </c>
      <c r="B16" s="3">
        <v>45071</v>
      </c>
      <c r="C16" s="2" t="s">
        <v>39</v>
      </c>
      <c r="D16" s="2" t="s">
        <v>28</v>
      </c>
      <c r="E16" s="2" t="s">
        <v>71</v>
      </c>
      <c r="F16" s="2" t="s">
        <v>30</v>
      </c>
      <c r="G16" s="2">
        <v>1</v>
      </c>
      <c r="H16" s="4">
        <v>800</v>
      </c>
      <c r="I16" s="5">
        <v>0.2</v>
      </c>
      <c r="J16" s="2">
        <f t="shared" si="0"/>
        <v>640</v>
      </c>
      <c r="K16" s="2" t="str">
        <f t="shared" si="2"/>
        <v>Delta Inc</v>
      </c>
      <c r="L16" s="2" t="str">
        <f t="shared" si="1"/>
        <v>Corporate</v>
      </c>
    </row>
    <row r="17" spans="1:12" ht="13" x14ac:dyDescent="0.3">
      <c r="A17" s="2" t="s">
        <v>72</v>
      </c>
      <c r="B17" s="3">
        <v>45087</v>
      </c>
      <c r="C17" s="2" t="s">
        <v>41</v>
      </c>
      <c r="D17" s="2" t="s">
        <v>14</v>
      </c>
      <c r="E17" s="2" t="s">
        <v>73</v>
      </c>
      <c r="F17" s="2" t="s">
        <v>35</v>
      </c>
      <c r="G17" s="2">
        <v>4</v>
      </c>
      <c r="H17" s="4">
        <v>80</v>
      </c>
      <c r="I17" s="5">
        <v>0</v>
      </c>
      <c r="J17" s="2">
        <f t="shared" si="0"/>
        <v>320</v>
      </c>
      <c r="K17" s="2" t="str">
        <f t="shared" si="2"/>
        <v>Bob Brown</v>
      </c>
      <c r="L17" s="2" t="str">
        <f t="shared" si="1"/>
        <v>Consumer</v>
      </c>
    </row>
    <row r="18" spans="1:12" ht="13" x14ac:dyDescent="0.3">
      <c r="A18" s="2" t="s">
        <v>74</v>
      </c>
      <c r="B18" s="3">
        <v>45092</v>
      </c>
      <c r="C18" s="2" t="s">
        <v>48</v>
      </c>
      <c r="D18" s="2" t="s">
        <v>21</v>
      </c>
      <c r="E18" s="2" t="s">
        <v>75</v>
      </c>
      <c r="F18" s="2" t="s">
        <v>16</v>
      </c>
      <c r="G18" s="2">
        <v>2</v>
      </c>
      <c r="H18" s="4">
        <v>150</v>
      </c>
      <c r="I18" s="5">
        <v>0.1</v>
      </c>
      <c r="J18" s="2">
        <f t="shared" si="0"/>
        <v>270</v>
      </c>
      <c r="K18" s="2" t="str">
        <f t="shared" si="2"/>
        <v>Global LLC</v>
      </c>
      <c r="L18" s="2" t="str">
        <f t="shared" si="1"/>
        <v>Corporate</v>
      </c>
    </row>
    <row r="19" spans="1:12" ht="13" x14ac:dyDescent="0.3">
      <c r="A19" s="2" t="s">
        <v>76</v>
      </c>
      <c r="B19" s="3">
        <v>45099</v>
      </c>
      <c r="C19" s="2" t="s">
        <v>45</v>
      </c>
      <c r="D19" s="2" t="s">
        <v>28</v>
      </c>
      <c r="E19" s="2" t="s">
        <v>77</v>
      </c>
      <c r="F19" s="2" t="s">
        <v>23</v>
      </c>
      <c r="G19" s="2">
        <v>3</v>
      </c>
      <c r="H19" s="4">
        <v>250</v>
      </c>
      <c r="I19" s="5">
        <v>0.15</v>
      </c>
      <c r="J19" s="2">
        <f t="shared" si="0"/>
        <v>637.5</v>
      </c>
      <c r="K19" s="2" t="str">
        <f t="shared" si="2"/>
        <v>Charlie Davis</v>
      </c>
      <c r="L19" s="2" t="str">
        <f t="shared" si="1"/>
        <v>Consumer</v>
      </c>
    </row>
    <row r="20" spans="1:12" ht="13" x14ac:dyDescent="0.3">
      <c r="A20" s="2" t="s">
        <v>78</v>
      </c>
      <c r="B20" s="3">
        <v>45112</v>
      </c>
      <c r="C20" s="2" t="s">
        <v>53</v>
      </c>
      <c r="D20" s="2" t="s">
        <v>14</v>
      </c>
      <c r="E20" s="2" t="s">
        <v>79</v>
      </c>
      <c r="F20" s="2" t="s">
        <v>30</v>
      </c>
      <c r="G20" s="2">
        <v>6</v>
      </c>
      <c r="H20" s="4">
        <v>60</v>
      </c>
      <c r="I20" s="5">
        <v>0.05</v>
      </c>
      <c r="J20" s="2">
        <f t="shared" si="0"/>
        <v>342</v>
      </c>
      <c r="K20" s="2" t="str">
        <f t="shared" si="2"/>
        <v>Eve White</v>
      </c>
      <c r="L20" s="2" t="str">
        <f t="shared" si="1"/>
        <v>Home Office</v>
      </c>
    </row>
    <row r="21" spans="1:12" ht="13" x14ac:dyDescent="0.3">
      <c r="A21" s="2" t="s">
        <v>80</v>
      </c>
      <c r="B21" s="3">
        <v>45119</v>
      </c>
      <c r="C21" s="2" t="s">
        <v>57</v>
      </c>
      <c r="D21" s="2" t="s">
        <v>21</v>
      </c>
      <c r="E21" s="2" t="s">
        <v>81</v>
      </c>
      <c r="F21" s="2" t="s">
        <v>35</v>
      </c>
      <c r="G21" s="2">
        <v>10</v>
      </c>
      <c r="H21" s="4">
        <v>10</v>
      </c>
      <c r="I21" s="5">
        <v>0</v>
      </c>
      <c r="J21" s="2">
        <f t="shared" si="0"/>
        <v>100</v>
      </c>
      <c r="K21" s="2" t="str">
        <f t="shared" si="2"/>
        <v>Frank Green</v>
      </c>
      <c r="L21" s="2" t="str">
        <f t="shared" si="1"/>
        <v>Consumer</v>
      </c>
    </row>
    <row r="22" spans="1:12" ht="13" x14ac:dyDescent="0.3">
      <c r="A22" s="2" t="s">
        <v>82</v>
      </c>
      <c r="B22" s="3">
        <v>45135</v>
      </c>
      <c r="C22" s="2" t="s">
        <v>13</v>
      </c>
      <c r="D22" s="2" t="s">
        <v>28</v>
      </c>
      <c r="E22" s="2" t="s">
        <v>83</v>
      </c>
      <c r="F22" s="2" t="s">
        <v>16</v>
      </c>
      <c r="G22" s="2">
        <v>1</v>
      </c>
      <c r="H22" s="4">
        <v>600</v>
      </c>
      <c r="I22" s="5">
        <v>0.1</v>
      </c>
      <c r="J22" s="2">
        <f t="shared" si="0"/>
        <v>540</v>
      </c>
      <c r="K22" s="2" t="str">
        <f t="shared" si="2"/>
        <v>John Doe</v>
      </c>
      <c r="L22" s="2" t="str">
        <f t="shared" si="1"/>
        <v>Consumer</v>
      </c>
    </row>
    <row r="23" spans="1:12" ht="13" x14ac:dyDescent="0.3">
      <c r="A23" s="2" t="s">
        <v>84</v>
      </c>
      <c r="B23" s="3">
        <v>45148</v>
      </c>
      <c r="C23" s="2" t="s">
        <v>20</v>
      </c>
      <c r="D23" s="2" t="s">
        <v>14</v>
      </c>
      <c r="E23" s="2" t="s">
        <v>85</v>
      </c>
      <c r="F23" s="2" t="s">
        <v>23</v>
      </c>
      <c r="G23" s="2">
        <v>2</v>
      </c>
      <c r="H23" s="4">
        <v>800</v>
      </c>
      <c r="I23" s="5">
        <v>0.05</v>
      </c>
      <c r="J23" s="2">
        <f t="shared" si="0"/>
        <v>1520</v>
      </c>
      <c r="K23" s="2" t="str">
        <f t="shared" si="2"/>
        <v>Acme Corp</v>
      </c>
      <c r="L23" s="2" t="str">
        <f t="shared" si="1"/>
        <v>Corporate</v>
      </c>
    </row>
    <row r="24" spans="1:12" ht="13" x14ac:dyDescent="0.3">
      <c r="A24" s="2" t="s">
        <v>86</v>
      </c>
      <c r="B24" s="3">
        <v>45153</v>
      </c>
      <c r="C24" s="2" t="s">
        <v>24</v>
      </c>
      <c r="D24" s="2" t="s">
        <v>21</v>
      </c>
      <c r="E24" s="2" t="s">
        <v>87</v>
      </c>
      <c r="F24" s="2" t="s">
        <v>30</v>
      </c>
      <c r="G24" s="2">
        <v>50</v>
      </c>
      <c r="H24" s="4">
        <v>2</v>
      </c>
      <c r="I24" s="5">
        <v>0</v>
      </c>
      <c r="J24" s="2">
        <f t="shared" si="0"/>
        <v>100</v>
      </c>
      <c r="K24" s="2" t="str">
        <f t="shared" si="2"/>
        <v>Jane Smith</v>
      </c>
      <c r="L24" s="2" t="str">
        <f t="shared" si="1"/>
        <v>Corporate</v>
      </c>
    </row>
    <row r="25" spans="1:12" ht="13" x14ac:dyDescent="0.3">
      <c r="A25" s="2" t="s">
        <v>88</v>
      </c>
      <c r="B25" s="3">
        <v>45160</v>
      </c>
      <c r="C25" s="2" t="s">
        <v>33</v>
      </c>
      <c r="D25" s="2" t="s">
        <v>28</v>
      </c>
      <c r="E25" s="2" t="s">
        <v>89</v>
      </c>
      <c r="F25" s="2" t="s">
        <v>35</v>
      </c>
      <c r="G25" s="2">
        <v>2</v>
      </c>
      <c r="H25" s="4">
        <v>75</v>
      </c>
      <c r="I25" s="5">
        <v>0</v>
      </c>
      <c r="J25" s="2">
        <f t="shared" si="0"/>
        <v>150</v>
      </c>
      <c r="K25" s="2" t="str">
        <f t="shared" si="2"/>
        <v>Alice Johnson</v>
      </c>
      <c r="L25" s="2" t="str">
        <f t="shared" si="1"/>
        <v>Home Office</v>
      </c>
    </row>
    <row r="26" spans="1:12" ht="13" x14ac:dyDescent="0.3">
      <c r="A26" s="2" t="s">
        <v>90</v>
      </c>
      <c r="B26" s="3">
        <v>45174</v>
      </c>
      <c r="C26" s="2" t="s">
        <v>39</v>
      </c>
      <c r="D26" s="2" t="s">
        <v>14</v>
      </c>
      <c r="E26" s="2" t="s">
        <v>91</v>
      </c>
      <c r="F26" s="2" t="s">
        <v>16</v>
      </c>
      <c r="G26" s="2">
        <v>10</v>
      </c>
      <c r="H26" s="4">
        <v>15</v>
      </c>
      <c r="I26" s="5">
        <v>0</v>
      </c>
      <c r="J26" s="2">
        <f t="shared" si="0"/>
        <v>150</v>
      </c>
      <c r="K26" s="2" t="str">
        <f t="shared" si="2"/>
        <v>Delta Inc</v>
      </c>
      <c r="L26" s="2" t="str">
        <f t="shared" si="1"/>
        <v>Corporate</v>
      </c>
    </row>
    <row r="27" spans="1:12" ht="13" x14ac:dyDescent="0.3">
      <c r="A27" s="2" t="s">
        <v>92</v>
      </c>
      <c r="B27" s="3">
        <v>45181</v>
      </c>
      <c r="C27" s="2" t="s">
        <v>41</v>
      </c>
      <c r="D27" s="2" t="s">
        <v>21</v>
      </c>
      <c r="E27" s="2" t="s">
        <v>93</v>
      </c>
      <c r="F27" s="2" t="s">
        <v>23</v>
      </c>
      <c r="G27" s="2">
        <v>20</v>
      </c>
      <c r="H27" s="4">
        <v>4</v>
      </c>
      <c r="I27" s="5">
        <v>0</v>
      </c>
      <c r="J27" s="2">
        <f t="shared" si="0"/>
        <v>80</v>
      </c>
      <c r="K27" s="2" t="str">
        <f t="shared" si="2"/>
        <v>Bob Brown</v>
      </c>
      <c r="L27" s="2" t="str">
        <f t="shared" si="1"/>
        <v>Consumer</v>
      </c>
    </row>
    <row r="28" spans="1:12" ht="13" x14ac:dyDescent="0.3">
      <c r="A28" s="2" t="s">
        <v>94</v>
      </c>
      <c r="B28" s="3">
        <v>45189</v>
      </c>
      <c r="C28" s="2" t="s">
        <v>48</v>
      </c>
      <c r="D28" s="2" t="s">
        <v>28</v>
      </c>
      <c r="E28" s="2" t="s">
        <v>95</v>
      </c>
      <c r="F28" s="2" t="s">
        <v>30</v>
      </c>
      <c r="G28" s="2">
        <v>5</v>
      </c>
      <c r="H28" s="4">
        <v>25</v>
      </c>
      <c r="I28" s="5">
        <v>0.05</v>
      </c>
      <c r="J28" s="2">
        <f t="shared" si="0"/>
        <v>118.75</v>
      </c>
      <c r="K28" s="2" t="str">
        <f t="shared" si="2"/>
        <v>Global LLC</v>
      </c>
      <c r="L28" s="2" t="str">
        <f t="shared" si="1"/>
        <v>Corporate</v>
      </c>
    </row>
    <row r="29" spans="1:12" ht="13" x14ac:dyDescent="0.3">
      <c r="A29" s="2" t="s">
        <v>96</v>
      </c>
      <c r="B29" s="3">
        <v>45201</v>
      </c>
      <c r="C29" s="2" t="s">
        <v>45</v>
      </c>
      <c r="D29" s="2" t="s">
        <v>14</v>
      </c>
      <c r="E29" s="2" t="s">
        <v>97</v>
      </c>
      <c r="F29" s="2" t="s">
        <v>35</v>
      </c>
      <c r="G29" s="2">
        <v>3</v>
      </c>
      <c r="H29" s="4">
        <v>40</v>
      </c>
      <c r="I29" s="5">
        <v>0</v>
      </c>
      <c r="J29" s="2">
        <f t="shared" si="0"/>
        <v>120</v>
      </c>
      <c r="K29" s="2" t="str">
        <f t="shared" si="2"/>
        <v>Charlie Davis</v>
      </c>
      <c r="L29" s="2" t="str">
        <f t="shared" si="1"/>
        <v>Consumer</v>
      </c>
    </row>
    <row r="30" spans="1:12" ht="13" x14ac:dyDescent="0.3">
      <c r="A30" s="2" t="s">
        <v>98</v>
      </c>
      <c r="B30" s="3">
        <v>45214</v>
      </c>
      <c r="C30" s="2" t="s">
        <v>53</v>
      </c>
      <c r="D30" s="2" t="s">
        <v>21</v>
      </c>
      <c r="E30" s="2" t="s">
        <v>99</v>
      </c>
      <c r="F30" s="2" t="s">
        <v>16</v>
      </c>
      <c r="G30" s="2">
        <v>8</v>
      </c>
      <c r="H30" s="4">
        <v>6</v>
      </c>
      <c r="I30" s="5">
        <v>0</v>
      </c>
      <c r="J30" s="2">
        <f t="shared" si="0"/>
        <v>48</v>
      </c>
      <c r="K30" s="2" t="str">
        <f t="shared" si="2"/>
        <v>Eve White</v>
      </c>
      <c r="L30" s="2" t="str">
        <f t="shared" si="1"/>
        <v>Home Office</v>
      </c>
    </row>
    <row r="31" spans="1:12" ht="13" x14ac:dyDescent="0.3">
      <c r="A31" s="2" t="s">
        <v>100</v>
      </c>
      <c r="B31" s="3">
        <v>45224</v>
      </c>
      <c r="C31" s="2" t="s">
        <v>57</v>
      </c>
      <c r="D31" s="2" t="s">
        <v>28</v>
      </c>
      <c r="E31" s="2" t="s">
        <v>101</v>
      </c>
      <c r="F31" s="2" t="s">
        <v>23</v>
      </c>
      <c r="G31" s="2">
        <v>1</v>
      </c>
      <c r="H31" s="4">
        <v>85</v>
      </c>
      <c r="I31" s="5">
        <v>0.1</v>
      </c>
      <c r="J31" s="2">
        <f t="shared" si="0"/>
        <v>76.5</v>
      </c>
      <c r="K31" s="2" t="str">
        <f t="shared" si="2"/>
        <v>Frank Green</v>
      </c>
      <c r="L31" s="2" t="str">
        <f>_xlfn.XLOOKUP(C31,$N$2:$N$11,$P$2:$P$11)</f>
        <v>Consumer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71A9-DDAD-4D0E-8ECB-C193BEEBF8E9}">
  <dimension ref="A3:B23"/>
  <sheetViews>
    <sheetView workbookViewId="0">
      <selection activeCell="B20" sqref="B20"/>
    </sheetView>
  </sheetViews>
  <sheetFormatPr defaultRowHeight="12.5" x14ac:dyDescent="0.25"/>
  <cols>
    <col min="1" max="1" width="12.54296875" bestFit="1" customWidth="1"/>
    <col min="2" max="2" width="16.54296875" bestFit="1" customWidth="1"/>
  </cols>
  <sheetData>
    <row r="3" spans="1:2" x14ac:dyDescent="0.25">
      <c r="A3" s="6" t="s">
        <v>102</v>
      </c>
      <c r="B3" s="7" t="s">
        <v>104</v>
      </c>
    </row>
    <row r="4" spans="1:2" x14ac:dyDescent="0.25">
      <c r="A4" s="8" t="s">
        <v>14</v>
      </c>
      <c r="B4" s="7">
        <v>5707</v>
      </c>
    </row>
    <row r="5" spans="1:2" x14ac:dyDescent="0.25">
      <c r="A5" s="9" t="s">
        <v>28</v>
      </c>
      <c r="B5" s="10">
        <v>3223.25</v>
      </c>
    </row>
    <row r="6" spans="1:2" x14ac:dyDescent="0.25">
      <c r="A6" s="9" t="s">
        <v>21</v>
      </c>
      <c r="B6" s="10">
        <v>1156.25</v>
      </c>
    </row>
    <row r="7" spans="1:2" x14ac:dyDescent="0.25">
      <c r="A7" s="11" t="s">
        <v>103</v>
      </c>
      <c r="B7" s="12">
        <v>10086.5</v>
      </c>
    </row>
    <row r="11" spans="1:2" x14ac:dyDescent="0.25">
      <c r="A11" s="16" t="s">
        <v>105</v>
      </c>
      <c r="B11" s="14" t="s">
        <v>104</v>
      </c>
    </row>
    <row r="12" spans="1:2" x14ac:dyDescent="0.25">
      <c r="A12" t="s">
        <v>14</v>
      </c>
      <c r="B12" s="13">
        <v>5707</v>
      </c>
    </row>
    <row r="13" spans="1:2" x14ac:dyDescent="0.25">
      <c r="A13" t="s">
        <v>28</v>
      </c>
      <c r="B13" s="13">
        <v>3223.25</v>
      </c>
    </row>
    <row r="14" spans="1:2" x14ac:dyDescent="0.25">
      <c r="A14" t="s">
        <v>21</v>
      </c>
      <c r="B14" s="13">
        <v>1156.25</v>
      </c>
    </row>
    <row r="15" spans="1:2" ht="13" x14ac:dyDescent="0.3">
      <c r="A15" s="15" t="s">
        <v>103</v>
      </c>
      <c r="B15" s="13">
        <v>10086.5</v>
      </c>
    </row>
    <row r="18" spans="1:2" x14ac:dyDescent="0.25">
      <c r="A18" s="16" t="s">
        <v>106</v>
      </c>
      <c r="B18" s="14" t="s">
        <v>104</v>
      </c>
    </row>
    <row r="19" spans="1:2" x14ac:dyDescent="0.25">
      <c r="A19" t="s">
        <v>23</v>
      </c>
      <c r="B19" s="13">
        <v>3056.5</v>
      </c>
    </row>
    <row r="20" spans="1:2" x14ac:dyDescent="0.25">
      <c r="A20" t="s">
        <v>16</v>
      </c>
      <c r="B20" s="13">
        <v>3264.25</v>
      </c>
    </row>
    <row r="21" spans="1:2" x14ac:dyDescent="0.25">
      <c r="A21" t="s">
        <v>30</v>
      </c>
      <c r="B21" s="13">
        <v>2670.75</v>
      </c>
    </row>
    <row r="22" spans="1:2" x14ac:dyDescent="0.25">
      <c r="A22" t="s">
        <v>35</v>
      </c>
      <c r="B22" s="13">
        <v>1095</v>
      </c>
    </row>
    <row r="23" spans="1:2" ht="13" x14ac:dyDescent="0.3">
      <c r="A23" s="15" t="s">
        <v>103</v>
      </c>
      <c r="B23" s="13">
        <v>10086.5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RawData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petch19982014@gmail.com</cp:lastModifiedBy>
  <dcterms:modified xsi:type="dcterms:W3CDTF">2026-10-01T20:19:53Z</dcterms:modified>
</cp:coreProperties>
</file>